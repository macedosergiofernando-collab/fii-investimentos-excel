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kworld-my.sharepoint.com/personal/sergio_macedo_ask-chemicals_com/Documents/"/>
    </mc:Choice>
  </mc:AlternateContent>
  <xr:revisionPtr revIDLastSave="125" documentId="13_ncr:1_{32B133FB-9CD1-40CC-AE90-6158BCF0FAD3}" xr6:coauthVersionLast="47" xr6:coauthVersionMax="47" xr10:uidLastSave="{787B680C-D136-4D02-B90F-1CAB464DA955}"/>
  <bookViews>
    <workbookView xWindow="-120" yWindow="-120" windowWidth="29040" windowHeight="15840" tabRatio="0" xr2:uid="{25E4308A-601F-4471-AE36-ED9E656BE68C}"/>
  </bookViews>
  <sheets>
    <sheet name="Planilha1" sheetId="1" r:id="rId1"/>
    <sheet name="Planilha2" sheetId="2" r:id="rId2"/>
  </sheets>
  <definedNames>
    <definedName name="Aporte">Planilha1!$D$19</definedName>
    <definedName name="Patrimonio">Planilha1!$D$22</definedName>
    <definedName name="Qtd_Anos">Planilha1!$D$20</definedName>
    <definedName name="rendimento_carteira">Planilha1!$D$15</definedName>
    <definedName name="Salario">Planilha1!$D$14</definedName>
    <definedName name="Sugestao_Investimento">Planilha1!$D$16</definedName>
    <definedName name="Taxa_Mensal">Planilha1!$D$21</definedName>
    <definedName name="Tipo_Perfil">Planilha1!$C$33</definedName>
    <definedName name="Valor_Perfil">Planilha1!$C$34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37" i="1"/>
  <c r="J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C34" i="1"/>
  <c r="D16" i="1"/>
  <c r="D22" i="1"/>
  <c r="D23" i="1" s="1"/>
  <c r="C28" i="1"/>
  <c r="D28" i="1" s="1"/>
  <c r="C29" i="1"/>
  <c r="D29" i="1" s="1"/>
  <c r="C30" i="1"/>
  <c r="D30" i="1" s="1"/>
  <c r="C31" i="1"/>
  <c r="D31" i="1" s="1"/>
  <c r="C27" i="1"/>
  <c r="D27" i="1" s="1"/>
  <c r="D37" i="1" l="1"/>
  <c r="D40" i="1"/>
  <c r="D38" i="1"/>
  <c r="D42" i="1"/>
  <c r="D41" i="1"/>
  <c r="D39" i="1"/>
  <c r="D43" i="1" l="1"/>
</calcChain>
</file>

<file path=xl/sharedStrings.xml><?xml version="1.0" encoding="utf-8"?>
<sst xmlns="http://schemas.openxmlformats.org/spreadsheetml/2006/main" count="74" uniqueCount="37">
  <si>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</si>
  <si>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</si>
  <si>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</si>
  <si>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</si>
  <si>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</si>
  <si>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</si>
  <si>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</si>
  <si>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</si>
  <si>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</si>
  <si>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</si>
  <si>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</si>
  <si>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 MENSAL</t>
  </si>
  <si>
    <t>PATRIMÔNIO</t>
  </si>
  <si>
    <t>CENÁRIOS DE INVESTIMENTO</t>
  </si>
  <si>
    <t>CONFIGURAÇÕES</t>
  </si>
  <si>
    <t>Salário</t>
  </si>
  <si>
    <t>Rendimento Carteira</t>
  </si>
  <si>
    <t>TEMPO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</si>
  <si>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</si>
  <si>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</si>
  <si>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</si>
  <si>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</si>
  <si>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</si>
  <si>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</si>
  <si>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</si>
  <si>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</si>
  <si>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</si>
  <si>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DESENVOLVIMENTO</t>
  </si>
  <si>
    <t>HOTELARIA</t>
  </si>
  <si>
    <t>FOF's</t>
  </si>
  <si>
    <t>%</t>
  </si>
  <si>
    <t>Moderado</t>
  </si>
  <si>
    <t>Agressivo</t>
  </si>
  <si>
    <t>CHAVE COMPOSTA</t>
  </si>
  <si>
    <t>Moderado-HÍBRIDOS</t>
  </si>
  <si>
    <t>Sugestão Ide Investimento (30%)</t>
  </si>
  <si>
    <t>Informações sobre Investimentos em FIIs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</si>
</sst>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164" fontId="3" fillId="0" borderId="0" xfId="0" applyNumberFormat="1" applyFont="1" applyBorder="1"/>
    <xf numFmtId="10" fontId="3" fillId="0" borderId="0" xfId="0" applyNumberFormat="1" applyFont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8" fontId="4" fillId="0" borderId="0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0" fillId="2" borderId="23" xfId="0" applyFont="1" applyFill="1" applyBorder="1" applyAlignment="1">
      <alignment horizontal="left" indent="3"/>
    </xf>
    <xf numFmtId="0" fontId="10" fillId="2" borderId="26" xfId="0" applyFont="1" applyFill="1" applyBorder="1" applyAlignment="1">
      <alignment horizontal="left" indent="3"/>
    </xf>
    <xf numFmtId="0" fontId="10" fillId="2" borderId="28" xfId="0" applyFont="1" applyFill="1" applyBorder="1" applyAlignment="1">
      <alignment horizontal="left" indent="3"/>
    </xf>
    <xf numFmtId="164" fontId="10" fillId="2" borderId="19" xfId="0" applyNumberFormat="1" applyFont="1" applyFill="1" applyBorder="1" applyAlignment="1">
      <alignment horizontal="right" indent="1"/>
    </xf>
    <xf numFmtId="164" fontId="11" fillId="0" borderId="22" xfId="1" applyNumberFormat="1" applyFont="1" applyBorder="1" applyAlignment="1">
      <alignment horizontal="right" indent="1"/>
    </xf>
    <xf numFmtId="0" fontId="11" fillId="0" borderId="16" xfId="0" applyFont="1" applyBorder="1" applyAlignment="1">
      <alignment horizontal="right" indent="1"/>
    </xf>
    <xf numFmtId="10" fontId="11" fillId="0" borderId="16" xfId="0" applyNumberFormat="1" applyFont="1" applyBorder="1" applyAlignment="1">
      <alignment horizontal="right" indent="1"/>
    </xf>
    <xf numFmtId="8" fontId="11" fillId="2" borderId="16" xfId="0" applyNumberFormat="1" applyFont="1" applyFill="1" applyBorder="1" applyAlignment="1">
      <alignment horizontal="right" indent="1"/>
    </xf>
    <xf numFmtId="8" fontId="11" fillId="2" borderId="19" xfId="0" applyNumberFormat="1" applyFont="1" applyFill="1" applyBorder="1" applyAlignment="1">
      <alignment horizontal="right" indent="1"/>
    </xf>
    <xf numFmtId="164" fontId="11" fillId="2" borderId="24" xfId="1" applyNumberFormat="1" applyFont="1" applyFill="1" applyBorder="1" applyAlignment="1">
      <alignment horizontal="right" indent="1"/>
    </xf>
    <xf numFmtId="164" fontId="11" fillId="2" borderId="25" xfId="1" applyNumberFormat="1" applyFont="1" applyFill="1" applyBorder="1" applyAlignment="1">
      <alignment horizontal="right" indent="1"/>
    </xf>
    <xf numFmtId="164" fontId="11" fillId="2" borderId="15" xfId="1" applyNumberFormat="1" applyFont="1" applyFill="1" applyBorder="1" applyAlignment="1">
      <alignment horizontal="right" indent="1"/>
    </xf>
    <xf numFmtId="164" fontId="11" fillId="2" borderId="27" xfId="1" applyNumberFormat="1" applyFont="1" applyFill="1" applyBorder="1" applyAlignment="1">
      <alignment horizontal="right" indent="1"/>
    </xf>
    <xf numFmtId="164" fontId="11" fillId="2" borderId="29" xfId="1" applyNumberFormat="1" applyFont="1" applyFill="1" applyBorder="1" applyAlignment="1">
      <alignment horizontal="right" indent="1"/>
    </xf>
    <xf numFmtId="164" fontId="11" fillId="2" borderId="30" xfId="1" applyNumberFormat="1" applyFont="1" applyFill="1" applyBorder="1" applyAlignment="1">
      <alignment horizontal="right" indent="1"/>
    </xf>
    <xf numFmtId="164" fontId="10" fillId="0" borderId="13" xfId="0" applyNumberFormat="1" applyFont="1" applyBorder="1" applyAlignment="1">
      <alignment horizontal="right" indent="1"/>
    </xf>
    <xf numFmtId="10" fontId="10" fillId="0" borderId="16" xfId="0" applyNumberFormat="1" applyFont="1" applyBorder="1" applyAlignment="1">
      <alignment horizontal="right" indent="1"/>
    </xf>
    <xf numFmtId="0" fontId="8" fillId="5" borderId="0" xfId="3"/>
    <xf numFmtId="0" fontId="0" fillId="2" borderId="0" xfId="0" applyFill="1"/>
    <xf numFmtId="0" fontId="9" fillId="2" borderId="0" xfId="0" applyFont="1" applyFill="1" applyAlignment="1">
      <alignment horizontal="left" indent="3"/>
    </xf>
    <xf numFmtId="0" fontId="9" fillId="7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9" fillId="7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2" fillId="5" borderId="0" xfId="3" applyFont="1" applyAlignment="1">
      <alignment horizontal="center"/>
    </xf>
    <xf numFmtId="0" fontId="12" fillId="5" borderId="0" xfId="3" applyFont="1" applyBorder="1" applyAlignment="1">
      <alignment horizontal="left" indent="3"/>
    </xf>
    <xf numFmtId="0" fontId="0" fillId="0" borderId="31" xfId="0" applyBorder="1"/>
    <xf numFmtId="0" fontId="0" fillId="0" borderId="31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0" xfId="2" applyFont="1"/>
    <xf numFmtId="0" fontId="6" fillId="4" borderId="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indent="3"/>
    </xf>
    <xf numFmtId="0" fontId="10" fillId="6" borderId="12" xfId="0" applyFont="1" applyFill="1" applyBorder="1" applyAlignment="1">
      <alignment horizontal="left" indent="3"/>
    </xf>
    <xf numFmtId="0" fontId="10" fillId="6" borderId="14" xfId="0" applyFont="1" applyFill="1" applyBorder="1" applyAlignment="1">
      <alignment horizontal="left" indent="3"/>
    </xf>
    <xf numFmtId="0" fontId="10" fillId="6" borderId="15" xfId="0" applyFont="1" applyFill="1" applyBorder="1" applyAlignment="1">
      <alignment horizontal="left" indent="3"/>
    </xf>
    <xf numFmtId="0" fontId="10" fillId="6" borderId="17" xfId="0" applyFont="1" applyFill="1" applyBorder="1" applyAlignment="1">
      <alignment horizontal="left" indent="3"/>
    </xf>
    <xf numFmtId="0" fontId="10" fillId="6" borderId="18" xfId="0" applyFont="1" applyFill="1" applyBorder="1" applyAlignment="1">
      <alignment horizontal="left" indent="3"/>
    </xf>
    <xf numFmtId="0" fontId="12" fillId="5" borderId="0" xfId="3" applyFont="1" applyBorder="1" applyAlignment="1">
      <alignment horizont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10" fillId="6" borderId="20" xfId="0" applyFont="1" applyFill="1" applyBorder="1" applyAlignment="1">
      <alignment horizontal="left" indent="3"/>
    </xf>
    <xf numFmtId="0" fontId="10" fillId="6" borderId="21" xfId="0" applyFont="1" applyFill="1" applyBorder="1" applyAlignment="1">
      <alignment horizontal="left" indent="3"/>
    </xf>
    <xf numFmtId="0" fontId="10" fillId="2" borderId="14" xfId="0" applyFont="1" applyFill="1" applyBorder="1" applyAlignment="1">
      <alignment horizontal="left" indent="3"/>
    </xf>
    <xf numFmtId="0" fontId="10" fillId="2" borderId="15" xfId="0" applyFont="1" applyFill="1" applyBorder="1" applyAlignment="1">
      <alignment horizontal="left" indent="3"/>
    </xf>
    <xf numFmtId="0" fontId="10" fillId="2" borderId="17" xfId="0" applyFont="1" applyFill="1" applyBorder="1" applyAlignment="1">
      <alignment horizontal="left" indent="3"/>
    </xf>
    <xf numFmtId="0" fontId="10" fillId="2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explosion val="1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AA-4878-AB7B-EDE1E1B505E3}"/>
              </c:ext>
            </c:extLst>
          </c:dPt>
          <c:dPt>
            <c:idx val="1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8-4A26-A159-6D45AEE4249D}"/>
              </c:ext>
            </c:extLst>
          </c:dPt>
          <c:dPt>
            <c:idx val="2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8-4A26-A159-6D45AEE4249D}"/>
              </c:ext>
            </c:extLst>
          </c:dPt>
          <c:dPt>
            <c:idx val="3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8-4A26-A159-6D45AEE4249D}"/>
              </c:ext>
            </c:extLst>
          </c:dPt>
          <c:dPt>
            <c:idx val="4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38-4A26-A159-6D45AEE4249D}"/>
              </c:ext>
            </c:extLst>
          </c:dPt>
          <c:dPt>
            <c:idx val="5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38-4A26-A159-6D45AEE42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A-4878-AB7B-EDE1E1B50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invest.com.br/" TargetMode="External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hyperlink" Target="https://fiis.com.br/" TargetMode="External"/><Relationship Id="rId1" Type="http://schemas.openxmlformats.org/officeDocument/2006/relationships/chart" Target="../charts/chart1.xml"/><Relationship Id="rId6" Type="http://schemas.openxmlformats.org/officeDocument/2006/relationships/hyperlink" Target="https://www.investidordefiis.com/" TargetMode="External"/><Relationship Id="rId5" Type="http://schemas.openxmlformats.org/officeDocument/2006/relationships/image" Target="../media/image2.png"/><Relationship Id="rId10" Type="http://schemas.openxmlformats.org/officeDocument/2006/relationships/image" Target="../media/image5.jpeg"/><Relationship Id="rId4" Type="http://schemas.openxmlformats.org/officeDocument/2006/relationships/hyperlink" Target="https://www.fiis.pro" TargetMode="Externa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356722</xdr:colOff>
      <xdr:row>44</xdr:row>
      <xdr:rowOff>19799</xdr:rowOff>
    </xdr:from>
    <xdr:to>
      <xdr:col>1</xdr:col>
      <xdr:colOff>4155515</xdr:colOff>
      <xdr:row>58</xdr:row>
      <xdr:rowOff>28016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DE936F-E720-0ECC-CE75-E782AD72D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114299</xdr:rowOff>
    </xdr:to>
    <xdr:sp macro="" textlink="">
      <xdr:nvSpPr>
        <xdr:cNvPr id="1028" name="AutoShape 4" descr="Logo Fiis">
          <a:extLst>
            <a:ext uri="{FF2B5EF4-FFF2-40B4-BE49-F238E27FC236}">
              <a16:creationId xmlns:a16="http://schemas.microsoft.com/office/drawing/2014/main" id="{E9BE7785-9F29-AF01-5E9B-BA55AA8EE94A}"/>
            </a:ext>
          </a:extLst>
        </xdr:cNvPr>
        <xdr:cNvSpPr>
          <a:spLocks noChangeAspect="1" noChangeArrowheads="1"/>
        </xdr:cNvSpPr>
      </xdr:nvSpPr>
      <xdr:spPr bwMode="auto">
        <a:xfrm>
          <a:off x="47625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691026</xdr:colOff>
      <xdr:row>46</xdr:row>
      <xdr:rowOff>27999</xdr:rowOff>
    </xdr:from>
    <xdr:to>
      <xdr:col>3</xdr:col>
      <xdr:colOff>610247</xdr:colOff>
      <xdr:row>48</xdr:row>
      <xdr:rowOff>81169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7AEF09-5929-1301-F9FB-FF03B9CE0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2741" r="8500" b="75687"/>
        <a:stretch/>
      </xdr:blipFill>
      <xdr:spPr>
        <a:xfrm>
          <a:off x="5453526" y="10365425"/>
          <a:ext cx="1404000" cy="426699"/>
        </a:xfrm>
        <a:prstGeom prst="rect">
          <a:avLst/>
        </a:prstGeom>
      </xdr:spPr>
    </xdr:pic>
    <xdr:clientData/>
  </xdr:twoCellAnchor>
  <xdr:twoCellAnchor editAs="absolute">
    <xdr:from>
      <xdr:col>2</xdr:col>
      <xdr:colOff>691026</xdr:colOff>
      <xdr:row>49</xdr:row>
      <xdr:rowOff>56010</xdr:rowOff>
    </xdr:from>
    <xdr:to>
      <xdr:col>3</xdr:col>
      <xdr:colOff>610247</xdr:colOff>
      <xdr:row>51</xdr:row>
      <xdr:rowOff>21508</xdr:rowOff>
    </xdr:to>
    <xdr:pic>
      <xdr:nvPicPr>
        <xdr:cNvPr id="5" name="Imagem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315A1C-9E59-FF2E-6DDE-42AEFEC149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9482"/>
        <a:stretch/>
      </xdr:blipFill>
      <xdr:spPr>
        <a:xfrm>
          <a:off x="5453526" y="10953731"/>
          <a:ext cx="1404000" cy="339027"/>
        </a:xfrm>
        <a:prstGeom prst="rect">
          <a:avLst/>
        </a:prstGeom>
      </xdr:spPr>
    </xdr:pic>
    <xdr:clientData/>
  </xdr:twoCellAnchor>
  <xdr:twoCellAnchor editAs="absolute">
    <xdr:from>
      <xdr:col>2</xdr:col>
      <xdr:colOff>691026</xdr:colOff>
      <xdr:row>52</xdr:row>
      <xdr:rowOff>37354</xdr:rowOff>
    </xdr:from>
    <xdr:to>
      <xdr:col>3</xdr:col>
      <xdr:colOff>610247</xdr:colOff>
      <xdr:row>54</xdr:row>
      <xdr:rowOff>46727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43A1929-A218-ADD2-D435-9AE839D10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57" t="328" r="-657" b="77048"/>
        <a:stretch/>
      </xdr:blipFill>
      <xdr:spPr>
        <a:xfrm>
          <a:off x="5453526" y="11495369"/>
          <a:ext cx="1404000" cy="382902"/>
        </a:xfrm>
        <a:prstGeom prst="rect">
          <a:avLst/>
        </a:prstGeom>
      </xdr:spPr>
    </xdr:pic>
    <xdr:clientData/>
  </xdr:twoCellAnchor>
  <xdr:twoCellAnchor editAs="absolute">
    <xdr:from>
      <xdr:col>2</xdr:col>
      <xdr:colOff>689348</xdr:colOff>
      <xdr:row>55</xdr:row>
      <xdr:rowOff>46692</xdr:rowOff>
    </xdr:from>
    <xdr:to>
      <xdr:col>3</xdr:col>
      <xdr:colOff>611925</xdr:colOff>
      <xdr:row>57</xdr:row>
      <xdr:rowOff>65402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07A18DE-8BD7-E67C-3B65-FB5D3C090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72129"/>
        <a:stretch/>
      </xdr:blipFill>
      <xdr:spPr>
        <a:xfrm>
          <a:off x="5451848" y="12065001"/>
          <a:ext cx="1407356" cy="39224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28014</xdr:rowOff>
    </xdr:from>
    <xdr:to>
      <xdr:col>3</xdr:col>
      <xdr:colOff>1223308</xdr:colOff>
      <xdr:row>11</xdr:row>
      <xdr:rowOff>9338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075BFF8-4633-CFD2-E998-0B16A0361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868" y="214779"/>
          <a:ext cx="7087719" cy="1848971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80E0-D819-4C3B-9634-DA95B0D4A46F}">
  <dimension ref="A12:I45"/>
  <sheetViews>
    <sheetView showGridLines="0" showRowColHeaders="0" tabSelected="1" zoomScale="70" zoomScaleNormal="70" workbookViewId="0">
      <selection activeCell="C33" sqref="C33"/>
    </sheetView>
  </sheetViews>
  <sheetFormatPr defaultColWidth="0" defaultRowHeight="15" x14ac:dyDescent="0.25"/>
  <cols>
    <col min="1" max="1" width="5.7109375" customWidth="1"/>
    <col min="2" max="2" width="65.7109375" customWidth="1"/>
    <col min="3" max="3" width="22.28515625" bestFit="1" customWidth="1"/>
    <col min="4" max="4" width="18.42578125" customWidth="1"/>
    <col min="5" max="5" width="5.7109375" customWidth="1"/>
    <col min="6" max="8" width="9.140625" hidden="1" customWidth="1"/>
    <col min="9" max="9" width="0" hidden="1" customWidth="1"/>
    <col min="10" max="16384" width="9.140625" hidden="1"/>
  </cols>
  <sheetData>
    <row r="12" spans="2:5" ht="15.75" thickBot="1" x14ac:dyDescent="0.3"/>
    <row r="13" spans="2:5" ht="21" x14ac:dyDescent="0.25">
      <c r="B13" s="49" t="s">
        <v>14</v>
      </c>
      <c r="C13" s="50"/>
      <c r="D13" s="51"/>
      <c r="E13" s="10"/>
    </row>
    <row r="14" spans="2:5" ht="18.75" x14ac:dyDescent="0.3">
      <c r="B14" s="52" t="s">
        <v>15</v>
      </c>
      <c r="C14" s="53"/>
      <c r="D14" s="32">
        <v>6000</v>
      </c>
      <c r="E14" s="5"/>
    </row>
    <row r="15" spans="2:5" ht="18.75" x14ac:dyDescent="0.3">
      <c r="B15" s="54" t="s">
        <v>16</v>
      </c>
      <c r="C15" s="55"/>
      <c r="D15" s="33">
        <v>8.8999999999999999E-3</v>
      </c>
      <c r="E15" s="6"/>
    </row>
    <row r="16" spans="2:5" ht="19.5" thickBot="1" x14ac:dyDescent="0.35">
      <c r="B16" s="56" t="s">
        <v>35</v>
      </c>
      <c r="C16" s="57"/>
      <c r="D16" s="20">
        <f>Salario*30%</f>
        <v>1800</v>
      </c>
      <c r="E16" s="5"/>
    </row>
    <row r="17" spans="1:5" ht="15.75" thickBot="1" x14ac:dyDescent="0.3"/>
    <row r="18" spans="1:5" ht="33" customHeight="1" thickBot="1" x14ac:dyDescent="0.3">
      <c r="B18" s="61" t="s">
        <v>5</v>
      </c>
      <c r="C18" s="62"/>
      <c r="D18" s="63"/>
      <c r="E18" s="11"/>
    </row>
    <row r="19" spans="1:5" ht="18.75" x14ac:dyDescent="0.3">
      <c r="B19" s="64" t="s">
        <v>0</v>
      </c>
      <c r="C19" s="65"/>
      <c r="D19" s="21">
        <v>1000</v>
      </c>
      <c r="E19" s="7"/>
    </row>
    <row r="20" spans="1:5" ht="18.75" x14ac:dyDescent="0.3">
      <c r="B20" s="54" t="s">
        <v>1</v>
      </c>
      <c r="C20" s="55"/>
      <c r="D20" s="22">
        <v>10</v>
      </c>
      <c r="E20" s="8"/>
    </row>
    <row r="21" spans="1:5" ht="18.75" x14ac:dyDescent="0.3">
      <c r="B21" s="54" t="s">
        <v>2</v>
      </c>
      <c r="C21" s="55"/>
      <c r="D21" s="23">
        <v>1.0789999999999999E-2</v>
      </c>
      <c r="E21" s="9"/>
    </row>
    <row r="22" spans="1:5" ht="18.75" x14ac:dyDescent="0.3">
      <c r="B22" s="66" t="s">
        <v>3</v>
      </c>
      <c r="C22" s="67"/>
      <c r="D22" s="24">
        <f>FV(Taxa_Mensal,Qtd_Anos*12,Aporte*-1)</f>
        <v>243284.2125301722</v>
      </c>
      <c r="E22" s="12"/>
    </row>
    <row r="23" spans="1:5" ht="19.5" thickBot="1" x14ac:dyDescent="0.35">
      <c r="B23" s="68" t="s">
        <v>4</v>
      </c>
      <c r="C23" s="69"/>
      <c r="D23" s="25">
        <f>Patrimonio*rendimento_carteira</f>
        <v>2165.2294915185325</v>
      </c>
      <c r="E23" s="12"/>
    </row>
    <row r="24" spans="1:5" ht="15.75" thickBot="1" x14ac:dyDescent="0.3"/>
    <row r="25" spans="1:5" ht="33" customHeight="1" thickBot="1" x14ac:dyDescent="0.3">
      <c r="B25" s="59" t="s">
        <v>13</v>
      </c>
      <c r="C25" s="60"/>
      <c r="D25" s="60"/>
      <c r="E25" s="13"/>
    </row>
    <row r="26" spans="1:5" ht="33" customHeight="1" x14ac:dyDescent="0.25">
      <c r="B26" s="2" t="s">
        <v>17</v>
      </c>
      <c r="C26" s="3" t="s">
        <v>12</v>
      </c>
      <c r="D26" s="4" t="s">
        <v>11</v>
      </c>
      <c r="E26" s="14"/>
    </row>
    <row r="27" spans="1:5" ht="18.75" x14ac:dyDescent="0.3">
      <c r="A27" s="1">
        <v>2</v>
      </c>
      <c r="B27" s="17" t="s">
        <v>6</v>
      </c>
      <c r="C27" s="26">
        <f>FV($D$21,$A27*12,$D$19*-1)</f>
        <v>27227.627297645216</v>
      </c>
      <c r="D27" s="27">
        <f>C27*rendimento_carteira</f>
        <v>242.32588294904244</v>
      </c>
      <c r="E27" s="15"/>
    </row>
    <row r="28" spans="1:5" ht="18.75" x14ac:dyDescent="0.3">
      <c r="A28" s="1">
        <v>5</v>
      </c>
      <c r="B28" s="18" t="s">
        <v>7</v>
      </c>
      <c r="C28" s="28">
        <f>FV($D$21,$A28*12,$D$19*-1)</f>
        <v>83776.913998487638</v>
      </c>
      <c r="D28" s="29">
        <f>C28*rendimento_carteira</f>
        <v>745.61453458654</v>
      </c>
      <c r="E28" s="15"/>
    </row>
    <row r="29" spans="1:5" ht="18.75" x14ac:dyDescent="0.3">
      <c r="A29" s="1">
        <v>10</v>
      </c>
      <c r="B29" s="18" t="s">
        <v>8</v>
      </c>
      <c r="C29" s="28">
        <f>FV($D$21,$A29*12,$D$19*-1)</f>
        <v>243284.2125301722</v>
      </c>
      <c r="D29" s="29">
        <f>C29*rendimento_carteira</f>
        <v>2165.2294915185325</v>
      </c>
      <c r="E29" s="15"/>
    </row>
    <row r="30" spans="1:5" ht="18.75" x14ac:dyDescent="0.3">
      <c r="A30" s="1">
        <v>20</v>
      </c>
      <c r="B30" s="18" t="s">
        <v>9</v>
      </c>
      <c r="C30" s="28">
        <f>FV($D$21,$A30*12,$D$19*-1)</f>
        <v>1125198.4000970805</v>
      </c>
      <c r="D30" s="29">
        <f>C30*rendimento_carteira</f>
        <v>10014.265760864017</v>
      </c>
      <c r="E30" s="15"/>
    </row>
    <row r="31" spans="1:5" ht="18.75" x14ac:dyDescent="0.3">
      <c r="A31" s="1">
        <v>30</v>
      </c>
      <c r="B31" s="19" t="s">
        <v>10</v>
      </c>
      <c r="C31" s="30">
        <f>FV($D$21,$A31*12,$D$19*-1)</f>
        <v>4322169.6550047146</v>
      </c>
      <c r="D31" s="31">
        <f>C31*rendimento_carteira</f>
        <v>38467.30992954196</v>
      </c>
      <c r="E31" s="15"/>
    </row>
    <row r="33" spans="2:4" x14ac:dyDescent="0.25">
      <c r="B33" s="43" t="s">
        <v>18</v>
      </c>
      <c r="C33" s="42" t="s">
        <v>19</v>
      </c>
      <c r="D33" s="34"/>
    </row>
    <row r="34" spans="2:4" x14ac:dyDescent="0.25">
      <c r="B34" s="36" t="s">
        <v>20</v>
      </c>
      <c r="C34" s="41">
        <f>Aporte</f>
        <v>1000</v>
      </c>
      <c r="D34" s="35"/>
    </row>
    <row r="36" spans="2:4" x14ac:dyDescent="0.25">
      <c r="B36" s="37" t="s">
        <v>21</v>
      </c>
      <c r="C36" s="37" t="s">
        <v>22</v>
      </c>
      <c r="D36" s="37" t="s">
        <v>23</v>
      </c>
    </row>
    <row r="37" spans="2:4" x14ac:dyDescent="0.25">
      <c r="B37" s="16" t="s">
        <v>24</v>
      </c>
      <c r="C37" s="38">
        <f>VLOOKUP(Tipo_Perfil&amp;"-"&amp;B37,Planilha2!$B:$E,4,0)</f>
        <v>0.3</v>
      </c>
      <c r="D37" s="39">
        <f t="shared" ref="D37:D42" si="0">C37*Valor_Perfil</f>
        <v>300</v>
      </c>
    </row>
    <row r="38" spans="2:4" x14ac:dyDescent="0.25">
      <c r="B38" s="16" t="s">
        <v>25</v>
      </c>
      <c r="C38" s="38">
        <f>VLOOKUP(Tipo_Perfil&amp;"-"&amp;B38,Planilha2!$B:$E,4,0)</f>
        <v>0.5</v>
      </c>
      <c r="D38" s="39">
        <f t="shared" si="0"/>
        <v>500</v>
      </c>
    </row>
    <row r="39" spans="2:4" x14ac:dyDescent="0.25">
      <c r="B39" s="16" t="s">
        <v>26</v>
      </c>
      <c r="C39" s="38">
        <f>VLOOKUP(Tipo_Perfil&amp;"-"&amp;B39,Planilha2!$B:$E,4,0)</f>
        <v>0.1</v>
      </c>
      <c r="D39" s="39">
        <f t="shared" si="0"/>
        <v>100</v>
      </c>
    </row>
    <row r="40" spans="2:4" x14ac:dyDescent="0.25">
      <c r="B40" s="16" t="s">
        <v>29</v>
      </c>
      <c r="C40" s="38">
        <f>VLOOKUP(Tipo_Perfil&amp;"-"&amp;B40,Planilha2!$B:$E,4,0)</f>
        <v>0.1</v>
      </c>
      <c r="D40" s="39">
        <f t="shared" si="0"/>
        <v>100</v>
      </c>
    </row>
    <row r="41" spans="2:4" x14ac:dyDescent="0.25">
      <c r="B41" s="16" t="s">
        <v>27</v>
      </c>
      <c r="C41" s="38">
        <f>VLOOKUP(Tipo_Perfil&amp;"-"&amp;B41,Planilha2!$B:$E,4,0)</f>
        <v>0</v>
      </c>
      <c r="D41" s="39">
        <f t="shared" si="0"/>
        <v>0</v>
      </c>
    </row>
    <row r="42" spans="2:4" x14ac:dyDescent="0.25">
      <c r="B42" s="16" t="s">
        <v>28</v>
      </c>
      <c r="C42" s="38">
        <f>VLOOKUP(Tipo_Perfil&amp;"-"&amp;B42,Planilha2!$B:$E,4,0)</f>
        <v>0</v>
      </c>
      <c r="D42" s="39">
        <f t="shared" si="0"/>
        <v>0</v>
      </c>
    </row>
    <row r="43" spans="2:4" x14ac:dyDescent="0.25">
      <c r="B43" s="37"/>
      <c r="C43" s="37"/>
      <c r="D43" s="40">
        <f>SUM(D37:D42)</f>
        <v>1000</v>
      </c>
    </row>
    <row r="45" spans="2:4" x14ac:dyDescent="0.25">
      <c r="C45" s="58" t="s">
        <v>36</v>
      </c>
      <c r="D45" s="58"/>
    </row>
  </sheetData>
  <mergeCells count="12">
    <mergeCell ref="B13:D13"/>
    <mergeCell ref="B14:C14"/>
    <mergeCell ref="B15:C15"/>
    <mergeCell ref="B16:C16"/>
    <mergeCell ref="C45:D45"/>
    <mergeCell ref="B25:D25"/>
    <mergeCell ref="B18:D18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C33" xr:uid="{7877FFBA-7A26-4693-A067-F2388310B7D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F55B-CAA2-46F1-83CC-D7AD2BD2A8E6}">
  <dimension ref="B1:J20"/>
  <sheetViews>
    <sheetView zoomScaleNormal="100" workbookViewId="0">
      <selection activeCell="G18" sqref="G18"/>
    </sheetView>
  </sheetViews>
  <sheetFormatPr defaultRowHeight="15" x14ac:dyDescent="0.25"/>
  <cols>
    <col min="2" max="2" width="28.7109375" bestFit="1" customWidth="1"/>
    <col min="3" max="3" width="11.28515625" bestFit="1" customWidth="1"/>
    <col min="4" max="4" width="17.7109375" bestFit="1" customWidth="1"/>
    <col min="9" max="9" width="18" bestFit="1" customWidth="1"/>
  </cols>
  <sheetData>
    <row r="1" spans="2:10" x14ac:dyDescent="0.25">
      <c r="J1" t="s">
        <v>30</v>
      </c>
    </row>
    <row r="2" spans="2:10" x14ac:dyDescent="0.25">
      <c r="B2" s="37" t="s">
        <v>33</v>
      </c>
      <c r="C2" s="37" t="s">
        <v>18</v>
      </c>
      <c r="D2" s="37" t="s">
        <v>21</v>
      </c>
      <c r="E2" s="37" t="s">
        <v>30</v>
      </c>
      <c r="I2" t="s">
        <v>34</v>
      </c>
      <c r="J2" s="48">
        <f>VLOOKUP(I2,$B:$E,4,FALSE)</f>
        <v>0.08</v>
      </c>
    </row>
    <row r="3" spans="2:10" x14ac:dyDescent="0.25">
      <c r="B3" t="str">
        <f>C3&amp;"-"&amp;D3</f>
        <v>Conservador-PAPEL</v>
      </c>
      <c r="C3" t="s">
        <v>19</v>
      </c>
      <c r="D3" s="16" t="s">
        <v>24</v>
      </c>
      <c r="E3" s="38">
        <v>0.3</v>
      </c>
    </row>
    <row r="4" spans="2:10" x14ac:dyDescent="0.25">
      <c r="B4" t="str">
        <f t="shared" ref="B4:B20" si="0">C4&amp;"-"&amp;D4</f>
        <v>Conservador-TIJOLO</v>
      </c>
      <c r="C4" t="s">
        <v>19</v>
      </c>
      <c r="D4" s="16" t="s">
        <v>25</v>
      </c>
      <c r="E4" s="38">
        <v>0.5</v>
      </c>
    </row>
    <row r="5" spans="2:10" x14ac:dyDescent="0.25">
      <c r="B5" t="str">
        <f t="shared" si="0"/>
        <v>Conservador-HÍBRIDOS</v>
      </c>
      <c r="C5" t="s">
        <v>19</v>
      </c>
      <c r="D5" s="16" t="s">
        <v>26</v>
      </c>
      <c r="E5" s="38">
        <v>0.1</v>
      </c>
    </row>
    <row r="6" spans="2:10" x14ac:dyDescent="0.25">
      <c r="B6" t="str">
        <f t="shared" si="0"/>
        <v>Conservador-FOF's</v>
      </c>
      <c r="C6" t="s">
        <v>19</v>
      </c>
      <c r="D6" s="16" t="s">
        <v>29</v>
      </c>
      <c r="E6" s="38">
        <v>0.1</v>
      </c>
    </row>
    <row r="7" spans="2:10" x14ac:dyDescent="0.25">
      <c r="B7" t="str">
        <f t="shared" si="0"/>
        <v>Conservador-DESENVOLVIMENTO</v>
      </c>
      <c r="C7" t="s">
        <v>19</v>
      </c>
      <c r="D7" s="16" t="s">
        <v>27</v>
      </c>
      <c r="E7" s="38">
        <v>0</v>
      </c>
    </row>
    <row r="8" spans="2:10" ht="15.75" thickBot="1" x14ac:dyDescent="0.3">
      <c r="B8" s="44" t="str">
        <f t="shared" si="0"/>
        <v>Conservador-HOTELARIA</v>
      </c>
      <c r="C8" s="44" t="s">
        <v>19</v>
      </c>
      <c r="D8" s="45" t="s">
        <v>28</v>
      </c>
      <c r="E8" s="46">
        <v>0</v>
      </c>
    </row>
    <row r="9" spans="2:10" ht="15.75" thickTop="1" x14ac:dyDescent="0.25">
      <c r="B9" t="str">
        <f t="shared" si="0"/>
        <v>Moderado-PAPEL</v>
      </c>
      <c r="C9" t="s">
        <v>31</v>
      </c>
      <c r="D9" s="16" t="s">
        <v>24</v>
      </c>
      <c r="E9" s="47">
        <v>0.32</v>
      </c>
    </row>
    <row r="10" spans="2:10" x14ac:dyDescent="0.25">
      <c r="B10" t="str">
        <f t="shared" si="0"/>
        <v>Moderado-TIJOLO</v>
      </c>
      <c r="C10" t="s">
        <v>31</v>
      </c>
      <c r="D10" s="16" t="s">
        <v>25</v>
      </c>
      <c r="E10" s="47">
        <v>0.35</v>
      </c>
    </row>
    <row r="11" spans="2:10" x14ac:dyDescent="0.25">
      <c r="B11" t="str">
        <f t="shared" si="0"/>
        <v>Moderado-HÍBRIDOS</v>
      </c>
      <c r="C11" t="s">
        <v>31</v>
      </c>
      <c r="D11" s="16" t="s">
        <v>26</v>
      </c>
      <c r="E11" s="47">
        <v>0.08</v>
      </c>
    </row>
    <row r="12" spans="2:10" x14ac:dyDescent="0.25">
      <c r="B12" t="str">
        <f t="shared" si="0"/>
        <v>Moderado-FOF's</v>
      </c>
      <c r="C12" t="s">
        <v>31</v>
      </c>
      <c r="D12" s="16" t="s">
        <v>29</v>
      </c>
      <c r="E12" s="47">
        <v>0.05</v>
      </c>
    </row>
    <row r="13" spans="2:10" x14ac:dyDescent="0.25">
      <c r="B13" t="str">
        <f t="shared" si="0"/>
        <v>Moderado-DESENVOLVIMENTO</v>
      </c>
      <c r="C13" t="s">
        <v>31</v>
      </c>
      <c r="D13" s="16" t="s">
        <v>27</v>
      </c>
      <c r="E13" s="47">
        <v>0.1</v>
      </c>
    </row>
    <row r="14" spans="2:10" ht="15.75" thickBot="1" x14ac:dyDescent="0.3">
      <c r="B14" s="44" t="str">
        <f t="shared" si="0"/>
        <v>Moderado-HOTELARIA</v>
      </c>
      <c r="C14" s="44" t="s">
        <v>31</v>
      </c>
      <c r="D14" s="45" t="s">
        <v>28</v>
      </c>
      <c r="E14" s="46">
        <v>0.1</v>
      </c>
    </row>
    <row r="15" spans="2:10" ht="15.75" thickTop="1" x14ac:dyDescent="0.25">
      <c r="B15" t="str">
        <f t="shared" si="0"/>
        <v>Agressivo-PAPEL</v>
      </c>
      <c r="C15" t="s">
        <v>32</v>
      </c>
      <c r="D15" s="16" t="s">
        <v>24</v>
      </c>
      <c r="E15" s="38">
        <v>0.5</v>
      </c>
    </row>
    <row r="16" spans="2:10" x14ac:dyDescent="0.25">
      <c r="B16" t="str">
        <f t="shared" si="0"/>
        <v>Agressivo-TIJOLO</v>
      </c>
      <c r="C16" t="s">
        <v>32</v>
      </c>
      <c r="D16" s="16" t="s">
        <v>25</v>
      </c>
      <c r="E16" s="38">
        <v>0.1</v>
      </c>
    </row>
    <row r="17" spans="2:5" x14ac:dyDescent="0.25">
      <c r="B17" t="str">
        <f t="shared" si="0"/>
        <v>Agressivo-HÍBRIDOS</v>
      </c>
      <c r="C17" t="s">
        <v>32</v>
      </c>
      <c r="D17" s="16" t="s">
        <v>26</v>
      </c>
      <c r="E17" s="38">
        <v>0.05</v>
      </c>
    </row>
    <row r="18" spans="2:5" x14ac:dyDescent="0.25">
      <c r="B18" t="str">
        <f t="shared" si="0"/>
        <v>Agressivo-FOF's</v>
      </c>
      <c r="C18" t="s">
        <v>32</v>
      </c>
      <c r="D18" s="16" t="s">
        <v>29</v>
      </c>
      <c r="E18" s="38">
        <v>0.05</v>
      </c>
    </row>
    <row r="19" spans="2:5" x14ac:dyDescent="0.25">
      <c r="B19" t="str">
        <f t="shared" si="0"/>
        <v>Agressivo-DESENVOLVIMENTO</v>
      </c>
      <c r="C19" t="s">
        <v>32</v>
      </c>
      <c r="D19" s="16" t="s">
        <v>27</v>
      </c>
      <c r="E19" s="38">
        <v>0.2</v>
      </c>
    </row>
    <row r="20" spans="2:5" x14ac:dyDescent="0.25">
      <c r="B20" t="str">
        <f t="shared" si="0"/>
        <v>Agressivo-HOTELARIA</v>
      </c>
      <c r="C20" t="s">
        <v>32</v>
      </c>
      <c r="D20" s="16" t="s">
        <v>28</v>
      </c>
      <c r="E20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  <vt:lpstr>Tipo_Perfil</vt:lpstr>
      <vt:lpstr>Valor_Perfil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Macedo, Sergio F.</dc:creator>
  <cp:lastModifiedBy>Macedo, Sergio F.</cp:lastModifiedBy>
  <dcterms:created xsi:type="dcterms:W3CDTF">2025-12-23T14:03:09Z</dcterms:created>
  <dcterms:modified xsi:type="dcterms:W3CDTF">2026-01-06T17:35:45Z</dcterms:modified>
</cp:coreProperties>
</file>